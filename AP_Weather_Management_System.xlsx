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⚠️ Alerts &amp; Insights" sheetId="3" state="visible" r:id="rId3"/>
    <sheet xmlns:r="http://schemas.openxmlformats.org/officeDocument/2006/relationships" name="📌 Power BI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0A4AE"/>
      <sz val="9"/>
    </font>
    <font>
      <name val="Arial"/>
      <b val="1"/>
      <color rgb="001B3A6B"/>
      <sz val="9"/>
    </font>
    <font>
      <name val="Arial"/>
      <b val="1"/>
      <color rgb="00E65100"/>
      <sz val="9"/>
    </font>
    <font>
      <name val="Arial"/>
      <b val="1"/>
      <color rgb="002E7D32"/>
      <sz val="9"/>
    </font>
    <font>
      <name val="Arial"/>
      <b val="1"/>
      <color rgb="006A1B9A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8FAFB"/>
      </patternFill>
    </fill>
    <fill>
      <patternFill patternType="solid">
        <fgColor rgb="00FFEBEE"/>
      </patternFill>
    </fill>
    <fill>
      <patternFill patternType="solid">
        <fgColor rgb="000097A7"/>
      </patternFill>
    </fill>
    <fill>
      <patternFill patternType="solid">
        <fgColor rgb="00FFCCBC"/>
      </patternFill>
    </fill>
    <fill>
      <patternFill patternType="solid">
        <fgColor rgb="00E1F5FE"/>
      </patternFill>
    </fill>
    <fill>
      <patternFill patternType="solid">
        <fgColor rgb="00E0E0E0"/>
      </patternFill>
    </fill>
    <fill>
      <patternFill patternType="solid">
        <fgColor rgb="00E65100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0" fillId="0" borderId="1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3" fontId="8" fillId="15" borderId="1" applyAlignment="1" pivotButton="0" quotePrefix="0" xfId="0">
      <alignment horizontal="center" vertical="center"/>
    </xf>
    <xf numFmtId="164" fontId="8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/>
    </xf>
    <xf numFmtId="0" fontId="10" fillId="16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Rainfall (mm) — Vijayawada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Dashboard'!C25</f>
            </strRef>
          </tx>
          <spPr>
            <a:solidFill xmlns:a="http://schemas.openxmlformats.org/drawingml/2006/main">
              <a:srgbClr val="0097A7"/>
            </a:solidFill>
            <a:ln xmlns:a="http://schemas.openxmlformats.org/drawingml/2006/main">
              <a:prstDash val="solid"/>
            </a:ln>
          </spPr>
          <cat>
            <numRef>
              <f>'📊 Dashboard'!$B$26:$B$37</f>
            </numRef>
          </cat>
          <val>
            <numRef>
              <f>'📊 Dashboard'!$C$26:$C$37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Temperature Profile (°C)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Dashboard'!D25</f>
            </strRef>
          </tx>
          <spPr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Dashboard'!$B$26:$B$37</f>
            </numRef>
          </cat>
          <val>
            <numRef>
              <f>'📊 Dashboard'!$D$26:$D$37</f>
            </numRef>
          </val>
        </ser>
        <ser>
          <idx val="1"/>
          <order val="1"/>
          <tx>
            <strRef>
              <f>'📊 Dashboard'!E25</f>
            </strRef>
          </tx>
          <spPr>
            <a:ln xmlns:a="http://schemas.openxmlformats.org/drawingml/2006/main">
              <a:solidFill>
                <a:srgbClr val="1B3A6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Dashboard'!$B$26:$B$37</f>
            </numRef>
          </cat>
          <val>
            <numRef>
              <f>'📊 Dashboard'!$E$26:$E$37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45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18" customHeight="1">
      <c r="B1" s="1" t="inlineStr">
        <is>
          <t>🌦  ANDHRA PRADESH WEATHER MANAGEMENT SYSTEM</t>
        </is>
      </c>
    </row>
    <row r="2" ht="18" customHeight="1"/>
    <row r="3" ht="18" customHeight="1"/>
    <row r="4" ht="18" customHeight="1">
      <c r="B4" s="2" t="inlineStr">
        <is>
          <t>District-wise Climate Intelligence Dashboard  |  Data Period: 2015–2024  |  Source: IMD India</t>
        </is>
      </c>
    </row>
    <row r="5" ht="18" customHeight="1"/>
    <row r="6" ht="18" customHeight="1">
      <c r="B6" s="3" t="inlineStr">
        <is>
          <t>📍 Districts
Covered
13
districts</t>
        </is>
      </c>
      <c r="D6" s="4" t="inlineStr">
        <is>
          <t>🌡 Avg Max Temp
35.3°C
Summer Peak</t>
        </is>
      </c>
      <c r="F6" s="5" t="inlineStr">
        <is>
          <t>🌧 Avg Rainfall
872 mm
Annual Normal</t>
        </is>
      </c>
      <c r="H6" s="6" t="inlineStr">
        <is>
          <t>💧 Avg Humidity
70%
Relative (Annual)</t>
        </is>
      </c>
    </row>
    <row r="7" ht="18" customHeight="1"/>
    <row r="8" ht="18" customHeight="1"/>
    <row r="9" ht="18" customHeight="1"/>
    <row r="10" ht="22" customHeight="1">
      <c r="B10" s="7" t="inlineStr">
        <is>
          <t>District</t>
        </is>
      </c>
      <c r="C10" s="7" t="inlineStr">
        <is>
          <t>Zone</t>
        </is>
      </c>
      <c r="D10" s="7" t="inlineStr">
        <is>
          <t>Annual Rain (mm)</t>
        </is>
      </c>
      <c r="E10" s="7" t="inlineStr">
        <is>
          <t>Max Temp (°C)</t>
        </is>
      </c>
      <c r="F10" s="7" t="inlineStr">
        <is>
          <t>Min Temp (°C)</t>
        </is>
      </c>
      <c r="G10" s="7" t="inlineStr">
        <is>
          <t>Humidity (%)</t>
        </is>
      </c>
      <c r="H10" s="7" t="inlineStr">
        <is>
          <t>Risk Level</t>
        </is>
      </c>
      <c r="I10" s="7" t="inlineStr">
        <is>
          <t>Trend</t>
        </is>
      </c>
    </row>
    <row r="11" ht="17" customHeight="1">
      <c r="B11" s="8" t="inlineStr">
        <is>
          <t>Visakhapatnam</t>
        </is>
      </c>
      <c r="C11" s="9" t="inlineStr">
        <is>
          <t>Coastal</t>
        </is>
      </c>
      <c r="D11" s="10" t="n">
        <v>1066</v>
      </c>
      <c r="E11" s="10" t="n">
        <v>32</v>
      </c>
      <c r="F11" s="10" t="n">
        <v>24</v>
      </c>
      <c r="G11" s="10" t="n">
        <v>78</v>
      </c>
      <c r="H11" s="11" t="inlineStr">
        <is>
          <t>Moderate</t>
        </is>
      </c>
      <c r="I11" s="10" t="inlineStr">
        <is>
          <t>↑ Increasing</t>
        </is>
      </c>
    </row>
    <row r="12" ht="17" customHeight="1">
      <c r="B12" s="12" t="inlineStr">
        <is>
          <t>Vijayawada</t>
        </is>
      </c>
      <c r="C12" s="13" t="inlineStr">
        <is>
          <t>Coastal</t>
        </is>
      </c>
      <c r="D12" s="14" t="n">
        <v>974</v>
      </c>
      <c r="E12" s="14" t="n">
        <v>36</v>
      </c>
      <c r="F12" s="14" t="n">
        <v>26</v>
      </c>
      <c r="G12" s="14" t="n">
        <v>70</v>
      </c>
      <c r="H12" s="11" t="inlineStr">
        <is>
          <t>Moderate</t>
        </is>
      </c>
      <c r="I12" s="14" t="inlineStr">
        <is>
          <t>→ Stable</t>
        </is>
      </c>
    </row>
    <row r="13" ht="17" customHeight="1">
      <c r="B13" s="8" t="inlineStr">
        <is>
          <t>Guntur</t>
        </is>
      </c>
      <c r="C13" s="9" t="inlineStr">
        <is>
          <t>Inland</t>
        </is>
      </c>
      <c r="D13" s="10" t="n">
        <v>899</v>
      </c>
      <c r="E13" s="10" t="n">
        <v>38</v>
      </c>
      <c r="F13" s="10" t="n">
        <v>25</v>
      </c>
      <c r="G13" s="10" t="n">
        <v>68</v>
      </c>
      <c r="H13" s="15" t="inlineStr">
        <is>
          <t>High</t>
        </is>
      </c>
      <c r="I13" s="10" t="inlineStr">
        <is>
          <t>↑ Increasing</t>
        </is>
      </c>
    </row>
    <row r="14" ht="17" customHeight="1">
      <c r="B14" s="12" t="inlineStr">
        <is>
          <t>Tirupati</t>
        </is>
      </c>
      <c r="C14" s="13" t="inlineStr">
        <is>
          <t>Inland</t>
        </is>
      </c>
      <c r="D14" s="14" t="n">
        <v>987</v>
      </c>
      <c r="E14" s="14" t="n">
        <v>35</v>
      </c>
      <c r="F14" s="14" t="n">
        <v>23</v>
      </c>
      <c r="G14" s="14" t="n">
        <v>72</v>
      </c>
      <c r="H14" s="11" t="inlineStr">
        <is>
          <t>Moderate</t>
        </is>
      </c>
      <c r="I14" s="14" t="inlineStr">
        <is>
          <t>→ Stable</t>
        </is>
      </c>
    </row>
    <row r="15" ht="17" customHeight="1">
      <c r="B15" s="8" t="inlineStr">
        <is>
          <t>Kurnool</t>
        </is>
      </c>
      <c r="C15" s="9" t="inlineStr">
        <is>
          <t>Inland</t>
        </is>
      </c>
      <c r="D15" s="10" t="n">
        <v>638</v>
      </c>
      <c r="E15" s="10" t="n">
        <v>40</v>
      </c>
      <c r="F15" s="10" t="n">
        <v>24</v>
      </c>
      <c r="G15" s="10" t="n">
        <v>58</v>
      </c>
      <c r="H15" s="15" t="inlineStr">
        <is>
          <t>High</t>
        </is>
      </c>
      <c r="I15" s="10" t="inlineStr">
        <is>
          <t>↓ Decreasing</t>
        </is>
      </c>
    </row>
    <row r="16" ht="17" customHeight="1">
      <c r="B16" s="12" t="inlineStr">
        <is>
          <t>Anantapur</t>
        </is>
      </c>
      <c r="C16" s="13" t="inlineStr">
        <is>
          <t>Inland</t>
        </is>
      </c>
      <c r="D16" s="14" t="n">
        <v>553</v>
      </c>
      <c r="E16" s="14" t="n">
        <v>39</v>
      </c>
      <c r="F16" s="14" t="n">
        <v>22</v>
      </c>
      <c r="G16" s="14" t="n">
        <v>55</v>
      </c>
      <c r="H16" s="15" t="inlineStr">
        <is>
          <t>High</t>
        </is>
      </c>
      <c r="I16" s="14" t="inlineStr">
        <is>
          <t>↑ Slight Up</t>
        </is>
      </c>
    </row>
    <row r="17" ht="17" customHeight="1">
      <c r="B17" s="8" t="inlineStr">
        <is>
          <t>Nellore</t>
        </is>
      </c>
      <c r="C17" s="9" t="inlineStr">
        <is>
          <t>Coastal</t>
        </is>
      </c>
      <c r="D17" s="10" t="n">
        <v>1012</v>
      </c>
      <c r="E17" s="10" t="n">
        <v>34</v>
      </c>
      <c r="F17" s="10" t="n">
        <v>25</v>
      </c>
      <c r="G17" s="10" t="n">
        <v>75</v>
      </c>
      <c r="H17" s="11" t="inlineStr">
        <is>
          <t>Moderate</t>
        </is>
      </c>
      <c r="I17" s="10" t="inlineStr">
        <is>
          <t>↑ Increasing</t>
        </is>
      </c>
    </row>
    <row r="18" ht="17" customHeight="1">
      <c r="B18" s="12" t="inlineStr">
        <is>
          <t>Kadapa</t>
        </is>
      </c>
      <c r="C18" s="13" t="inlineStr">
        <is>
          <t>Inland</t>
        </is>
      </c>
      <c r="D18" s="14" t="n">
        <v>709</v>
      </c>
      <c r="E18" s="14" t="n">
        <v>40</v>
      </c>
      <c r="F18" s="14" t="n">
        <v>23</v>
      </c>
      <c r="G18" s="14" t="n">
        <v>60</v>
      </c>
      <c r="H18" s="15" t="inlineStr">
        <is>
          <t>High</t>
        </is>
      </c>
      <c r="I18" s="14" t="inlineStr">
        <is>
          <t>→ Stable</t>
        </is>
      </c>
    </row>
    <row r="19" ht="17" customHeight="1">
      <c r="B19" s="8" t="inlineStr">
        <is>
          <t>Kakinada</t>
        </is>
      </c>
      <c r="C19" s="9" t="inlineStr">
        <is>
          <t>Coastal</t>
        </is>
      </c>
      <c r="D19" s="10" t="n">
        <v>1143</v>
      </c>
      <c r="E19" s="10" t="n">
        <v>32</v>
      </c>
      <c r="F19" s="10" t="n">
        <v>24</v>
      </c>
      <c r="G19" s="10" t="n">
        <v>80</v>
      </c>
      <c r="H19" s="16" t="inlineStr">
        <is>
          <t>Low</t>
        </is>
      </c>
      <c r="I19" s="10" t="inlineStr">
        <is>
          <t>↑ Increasing</t>
        </is>
      </c>
    </row>
    <row r="20" ht="17" customHeight="1">
      <c r="B20" s="12" t="inlineStr">
        <is>
          <t>Rajahmundry</t>
        </is>
      </c>
      <c r="C20" s="13" t="inlineStr">
        <is>
          <t>Coastal</t>
        </is>
      </c>
      <c r="D20" s="14" t="n">
        <v>1072</v>
      </c>
      <c r="E20" s="14" t="n">
        <v>33</v>
      </c>
      <c r="F20" s="14" t="n">
        <v>24</v>
      </c>
      <c r="G20" s="14" t="n">
        <v>77</v>
      </c>
      <c r="H20" s="16" t="inlineStr">
        <is>
          <t>Low</t>
        </is>
      </c>
      <c r="I20" s="14" t="inlineStr">
        <is>
          <t>→ Stable</t>
        </is>
      </c>
    </row>
    <row r="21" ht="17" customHeight="1">
      <c r="B21" s="8" t="inlineStr">
        <is>
          <t>Chittoor</t>
        </is>
      </c>
      <c r="C21" s="9" t="inlineStr">
        <is>
          <t>Inland</t>
        </is>
      </c>
      <c r="D21" s="10" t="n">
        <v>895</v>
      </c>
      <c r="E21" s="10" t="n">
        <v>35</v>
      </c>
      <c r="F21" s="10" t="n">
        <v>22</v>
      </c>
      <c r="G21" s="10" t="n">
        <v>67</v>
      </c>
      <c r="H21" s="11" t="inlineStr">
        <is>
          <t>Moderate</t>
        </is>
      </c>
      <c r="I21" s="10" t="inlineStr">
        <is>
          <t>↑ Increasing</t>
        </is>
      </c>
    </row>
    <row r="22" ht="17" customHeight="1">
      <c r="B22" s="12" t="inlineStr">
        <is>
          <t>Ongole</t>
        </is>
      </c>
      <c r="C22" s="13" t="inlineStr">
        <is>
          <t>Coastal</t>
        </is>
      </c>
      <c r="D22" s="14" t="n">
        <v>880</v>
      </c>
      <c r="E22" s="14" t="n">
        <v>34</v>
      </c>
      <c r="F22" s="14" t="n">
        <v>24</v>
      </c>
      <c r="G22" s="14" t="n">
        <v>73</v>
      </c>
      <c r="H22" s="11" t="inlineStr">
        <is>
          <t>Moderate</t>
        </is>
      </c>
      <c r="I22" s="14" t="inlineStr">
        <is>
          <t>→ Stable</t>
        </is>
      </c>
    </row>
    <row r="23" ht="18" customHeight="1"/>
    <row r="24" ht="18" customHeight="1">
      <c r="B24" s="17" t="inlineStr">
        <is>
          <t>📅  MONTHLY CLIMATE PROFILE — VIJAYAWADA (STATE REFERENCE STATION)</t>
        </is>
      </c>
    </row>
    <row r="25" ht="18" customHeight="1">
      <c r="B25" s="7" t="inlineStr">
        <is>
          <t>Month</t>
        </is>
      </c>
      <c r="C25" s="7" t="inlineStr">
        <is>
          <t>Rain (mm)</t>
        </is>
      </c>
      <c r="D25" s="7" t="inlineStr">
        <is>
          <t>Max Temp °C</t>
        </is>
      </c>
      <c r="E25" s="7" t="inlineStr">
        <is>
          <t>Min Temp °C</t>
        </is>
      </c>
      <c r="F25" s="7" t="inlineStr">
        <is>
          <t>Humidity %</t>
        </is>
      </c>
      <c r="G25" s="7" t="inlineStr">
        <is>
          <t>Wind (km/h)</t>
        </is>
      </c>
      <c r="H25" s="7" t="inlineStr">
        <is>
          <t>Season</t>
        </is>
      </c>
      <c r="I25" s="18" t="n"/>
    </row>
    <row r="26" ht="16" customHeight="1">
      <c r="B26" s="19" t="inlineStr">
        <is>
          <t>Jan</t>
        </is>
      </c>
      <c r="C26" s="20" t="n">
        <v>6</v>
      </c>
      <c r="D26" s="20" t="n">
        <v>30</v>
      </c>
      <c r="E26" s="20" t="n">
        <v>19</v>
      </c>
      <c r="F26" s="20" t="n">
        <v>68</v>
      </c>
      <c r="G26" s="20" t="n">
        <v>8</v>
      </c>
      <c r="H26" s="20" t="inlineStr">
        <is>
          <t>Winter</t>
        </is>
      </c>
      <c r="I26" s="18" t="n"/>
    </row>
    <row r="27" ht="16" customHeight="1">
      <c r="B27" s="19" t="inlineStr">
        <is>
          <t>Feb</t>
        </is>
      </c>
      <c r="C27" s="20" t="n">
        <v>5</v>
      </c>
      <c r="D27" s="20" t="n">
        <v>33</v>
      </c>
      <c r="E27" s="20" t="n">
        <v>21</v>
      </c>
      <c r="F27" s="20" t="n">
        <v>66</v>
      </c>
      <c r="G27" s="20" t="n">
        <v>9</v>
      </c>
      <c r="H27" s="20" t="inlineStr">
        <is>
          <t>Winter</t>
        </is>
      </c>
      <c r="I27" s="18" t="n"/>
    </row>
    <row r="28" ht="16" customHeight="1">
      <c r="B28" s="21" t="inlineStr">
        <is>
          <t>Mar</t>
        </is>
      </c>
      <c r="C28" s="11" t="n">
        <v>11</v>
      </c>
      <c r="D28" s="11" t="n">
        <v>37</v>
      </c>
      <c r="E28" s="11" t="n">
        <v>24</v>
      </c>
      <c r="F28" s="11" t="n">
        <v>62</v>
      </c>
      <c r="G28" s="11" t="n">
        <v>11</v>
      </c>
      <c r="H28" s="11" t="inlineStr">
        <is>
          <t>Pre-Summer</t>
        </is>
      </c>
      <c r="I28" s="18" t="n"/>
    </row>
    <row r="29" ht="16" customHeight="1">
      <c r="B29" s="22" t="inlineStr">
        <is>
          <t>Apr</t>
        </is>
      </c>
      <c r="C29" s="23" t="n">
        <v>14</v>
      </c>
      <c r="D29" s="23" t="n">
        <v>40</v>
      </c>
      <c r="E29" s="23" t="n">
        <v>27</v>
      </c>
      <c r="F29" s="23" t="n">
        <v>60</v>
      </c>
      <c r="G29" s="23" t="n">
        <v>13</v>
      </c>
      <c r="H29" s="23" t="inlineStr">
        <is>
          <t>Summer</t>
        </is>
      </c>
      <c r="I29" s="18" t="n"/>
    </row>
    <row r="30" ht="16" customHeight="1">
      <c r="B30" s="22" t="inlineStr">
        <is>
          <t>May</t>
        </is>
      </c>
      <c r="C30" s="23" t="n">
        <v>29</v>
      </c>
      <c r="D30" s="23" t="n">
        <v>42</v>
      </c>
      <c r="E30" s="23" t="n">
        <v>29</v>
      </c>
      <c r="F30" s="23" t="n">
        <v>62</v>
      </c>
      <c r="G30" s="23" t="n">
        <v>14</v>
      </c>
      <c r="H30" s="23" t="inlineStr">
        <is>
          <t>Summer</t>
        </is>
      </c>
      <c r="I30" s="18" t="n"/>
    </row>
    <row r="31" ht="16" customHeight="1">
      <c r="B31" s="24" t="inlineStr">
        <is>
          <t>Jun</t>
        </is>
      </c>
      <c r="C31" s="16" t="n">
        <v>89</v>
      </c>
      <c r="D31" s="16" t="n">
        <v>38</v>
      </c>
      <c r="E31" s="16" t="n">
        <v>27</v>
      </c>
      <c r="F31" s="16" t="n">
        <v>77</v>
      </c>
      <c r="G31" s="16" t="n">
        <v>17</v>
      </c>
      <c r="H31" s="16" t="inlineStr">
        <is>
          <t>Monsoon</t>
        </is>
      </c>
      <c r="I31" s="18" t="n"/>
    </row>
    <row r="32" ht="16" customHeight="1">
      <c r="B32" s="24" t="inlineStr">
        <is>
          <t>Jul</t>
        </is>
      </c>
      <c r="C32" s="16" t="n">
        <v>189</v>
      </c>
      <c r="D32" s="16" t="n">
        <v>34</v>
      </c>
      <c r="E32" s="16" t="n">
        <v>26</v>
      </c>
      <c r="F32" s="16" t="n">
        <v>82</v>
      </c>
      <c r="G32" s="16" t="n">
        <v>18</v>
      </c>
      <c r="H32" s="16" t="inlineStr">
        <is>
          <t>Monsoon</t>
        </is>
      </c>
      <c r="I32" s="18" t="n"/>
    </row>
    <row r="33" ht="16" customHeight="1">
      <c r="B33" s="24" t="inlineStr">
        <is>
          <t>Aug</t>
        </is>
      </c>
      <c r="C33" s="16" t="n">
        <v>175</v>
      </c>
      <c r="D33" s="16" t="n">
        <v>33</v>
      </c>
      <c r="E33" s="16" t="n">
        <v>26</v>
      </c>
      <c r="F33" s="16" t="n">
        <v>83</v>
      </c>
      <c r="G33" s="16" t="n">
        <v>16</v>
      </c>
      <c r="H33" s="16" t="inlineStr">
        <is>
          <t>Monsoon</t>
        </is>
      </c>
      <c r="I33" s="18" t="n"/>
    </row>
    <row r="34" ht="16" customHeight="1">
      <c r="B34" s="24" t="inlineStr">
        <is>
          <t>Sep</t>
        </is>
      </c>
      <c r="C34" s="16" t="n">
        <v>158</v>
      </c>
      <c r="D34" s="16" t="n">
        <v>33</v>
      </c>
      <c r="E34" s="16" t="n">
        <v>25</v>
      </c>
      <c r="F34" s="16" t="n">
        <v>82</v>
      </c>
      <c r="G34" s="16" t="n">
        <v>13</v>
      </c>
      <c r="H34" s="16" t="inlineStr">
        <is>
          <t>Monsoon</t>
        </is>
      </c>
      <c r="I34" s="18" t="n"/>
    </row>
    <row r="35" ht="16" customHeight="1">
      <c r="B35" s="25" t="inlineStr">
        <is>
          <t>Oct</t>
        </is>
      </c>
      <c r="C35" s="26" t="n">
        <v>112</v>
      </c>
      <c r="D35" s="26" t="n">
        <v>32</v>
      </c>
      <c r="E35" s="26" t="n">
        <v>24</v>
      </c>
      <c r="F35" s="26" t="n">
        <v>80</v>
      </c>
      <c r="G35" s="26" t="n">
        <v>10</v>
      </c>
      <c r="H35" s="26" t="inlineStr">
        <is>
          <t>Post-Monsoon</t>
        </is>
      </c>
      <c r="I35" s="18" t="n"/>
    </row>
    <row r="36" ht="16" customHeight="1">
      <c r="B36" s="25" t="inlineStr">
        <is>
          <t>Nov</t>
        </is>
      </c>
      <c r="C36" s="26" t="n">
        <v>36</v>
      </c>
      <c r="D36" s="26" t="n">
        <v>29</v>
      </c>
      <c r="E36" s="26" t="n">
        <v>21</v>
      </c>
      <c r="F36" s="26" t="n">
        <v>75</v>
      </c>
      <c r="G36" s="26" t="n">
        <v>8</v>
      </c>
      <c r="H36" s="26" t="inlineStr">
        <is>
          <t>Post-Monsoon</t>
        </is>
      </c>
      <c r="I36" s="18" t="n"/>
    </row>
    <row r="37" ht="16" customHeight="1">
      <c r="B37" s="19" t="inlineStr">
        <is>
          <t>Dec</t>
        </is>
      </c>
      <c r="C37" s="20" t="n">
        <v>10</v>
      </c>
      <c r="D37" s="20" t="n">
        <v>28</v>
      </c>
      <c r="E37" s="20" t="n">
        <v>18</v>
      </c>
      <c r="F37" s="20" t="n">
        <v>71</v>
      </c>
      <c r="G37" s="20" t="n">
        <v>7</v>
      </c>
      <c r="H37" s="20" t="inlineStr">
        <is>
          <t>Winter</t>
        </is>
      </c>
      <c r="I37" s="18" t="n"/>
    </row>
    <row r="38" ht="18" customHeight="1">
      <c r="B38" s="27" t="inlineStr">
        <is>
          <t>TOTAL / AVG</t>
        </is>
      </c>
      <c r="C38" s="28">
        <f>SUM(C26:C37)</f>
        <v/>
      </c>
      <c r="D38" s="29">
        <f>AVERAGE(D26:D37)</f>
        <v/>
      </c>
      <c r="E38" s="29">
        <f>AVERAGE(E26:E37)</f>
        <v/>
      </c>
      <c r="F38" s="29">
        <f>AVERAGE(F26:F37)</f>
        <v/>
      </c>
      <c r="G38" s="29">
        <f>AVERAGE(G26:G37)</f>
        <v/>
      </c>
      <c r="H38" s="30" t="inlineStr"/>
      <c r="I38" s="18" t="n"/>
    </row>
    <row r="39" ht="18" customHeight="1"/>
    <row r="40" ht="18" customHeight="1">
      <c r="B40" s="31" t="inlineStr">
        <is>
          <t>📈  YEAR-WISE RAINFALL &amp; TEMPERATURE TREND (2015–2024)</t>
        </is>
      </c>
    </row>
    <row r="41" ht="18" customHeight="1">
      <c r="B41" s="7" t="inlineStr">
        <is>
          <t>Year</t>
        </is>
      </c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 ht="18" customHeight="1">
      <c r="B42" s="32" t="inlineStr">
        <is>
          <t>Year</t>
        </is>
      </c>
      <c r="C42" s="33" t="n">
        <v>2015</v>
      </c>
      <c r="D42" s="33" t="n">
        <v>2016</v>
      </c>
      <c r="E42" s="33" t="n">
        <v>2017</v>
      </c>
      <c r="F42" s="33" t="n">
        <v>2018</v>
      </c>
      <c r="G42" s="33" t="n">
        <v>2019</v>
      </c>
      <c r="H42" s="33" t="n">
        <v>2020</v>
      </c>
      <c r="I42" s="33" t="n">
        <v>2021</v>
      </c>
      <c r="J42" s="33" t="n">
        <v>2022</v>
      </c>
      <c r="K42" s="33" t="n">
        <v>2023</v>
      </c>
      <c r="L42" s="33" t="n">
        <v>2024</v>
      </c>
    </row>
    <row r="43" ht="18" customHeight="1">
      <c r="B43" s="7" t="inlineStr">
        <is>
          <t>Rainfall (mm)</t>
        </is>
      </c>
      <c r="C43" s="34" t="n">
        <v>845</v>
      </c>
      <c r="D43" s="34" t="n">
        <v>920</v>
      </c>
      <c r="E43" s="34" t="n">
        <v>1050</v>
      </c>
      <c r="F43" s="34" t="n">
        <v>780</v>
      </c>
      <c r="G43" s="34" t="n">
        <v>1120</v>
      </c>
      <c r="H43" s="34" t="n">
        <v>990</v>
      </c>
      <c r="I43" s="34" t="n">
        <v>870</v>
      </c>
      <c r="J43" s="34" t="n">
        <v>1030</v>
      </c>
      <c r="K43" s="34" t="n">
        <v>760</v>
      </c>
      <c r="L43" s="34" t="n">
        <v>940</v>
      </c>
    </row>
    <row r="44" ht="18" customHeight="1">
      <c r="B44" s="7" t="inlineStr">
        <is>
          <t>Avg Temp (°C)</t>
        </is>
      </c>
      <c r="C44" s="35" t="n">
        <v>28.8</v>
      </c>
      <c r="D44" s="35" t="n">
        <v>29.1</v>
      </c>
      <c r="E44" s="35" t="n">
        <v>28.5</v>
      </c>
      <c r="F44" s="35" t="n">
        <v>29.4</v>
      </c>
      <c r="G44" s="35" t="n">
        <v>28.9</v>
      </c>
      <c r="H44" s="35" t="n">
        <v>29.2</v>
      </c>
      <c r="I44" s="35" t="n">
        <v>29.6</v>
      </c>
      <c r="J44" s="35" t="n">
        <v>29.8</v>
      </c>
      <c r="K44" s="35" t="n">
        <v>30.1</v>
      </c>
      <c r="L44" s="35" t="n">
        <v>30.3</v>
      </c>
    </row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9">
    <mergeCell ref="B40:I40"/>
    <mergeCell ref="B24:I24"/>
    <mergeCell ref="H6:I8"/>
    <mergeCell ref="B38"/>
    <mergeCell ref="D6:E8"/>
    <mergeCell ref="B6:C8"/>
    <mergeCell ref="F6:G8"/>
    <mergeCell ref="B4:I4"/>
    <mergeCell ref="B1:I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</cols>
  <sheetData>
    <row r="1">
      <c r="B1" s="36" t="inlineStr">
        <is>
          <t>ANDHRA PRADESH — DISTRICT CLIMATE DATABASE</t>
        </is>
      </c>
    </row>
    <row r="2"/>
    <row r="4">
      <c r="B4" s="37" t="inlineStr">
        <is>
          <t>District</t>
        </is>
      </c>
      <c r="C4" s="37" t="inlineStr">
        <is>
          <t>Zone</t>
        </is>
      </c>
      <c r="D4" s="37" t="inlineStr">
        <is>
          <t>Annual Rain (mm)</t>
        </is>
      </c>
      <c r="E4" s="37" t="inlineStr">
        <is>
          <t>Max Temp (°C)</t>
        </is>
      </c>
      <c r="F4" s="37" t="inlineStr">
        <is>
          <t>Min Temp (°C)</t>
        </is>
      </c>
      <c r="G4" s="37" t="inlineStr">
        <is>
          <t>Humidity (%)</t>
        </is>
      </c>
    </row>
    <row r="5">
      <c r="B5" s="38" t="inlineStr">
        <is>
          <t>Visakhapatnam</t>
        </is>
      </c>
      <c r="C5" s="39" t="inlineStr">
        <is>
          <t>Coastal</t>
        </is>
      </c>
      <c r="D5" s="39" t="n">
        <v>1066</v>
      </c>
      <c r="E5" s="39" t="n">
        <v>32</v>
      </c>
      <c r="F5" s="39" t="n">
        <v>24</v>
      </c>
      <c r="G5" s="39" t="n">
        <v>78</v>
      </c>
    </row>
    <row r="6">
      <c r="B6" s="40" t="inlineStr">
        <is>
          <t>Vijayawada</t>
        </is>
      </c>
      <c r="C6" s="41" t="inlineStr">
        <is>
          <t>Coastal</t>
        </is>
      </c>
      <c r="D6" s="41" t="n">
        <v>974</v>
      </c>
      <c r="E6" s="41" t="n">
        <v>36</v>
      </c>
      <c r="F6" s="41" t="n">
        <v>26</v>
      </c>
      <c r="G6" s="41" t="n">
        <v>70</v>
      </c>
    </row>
    <row r="7">
      <c r="B7" s="38" t="inlineStr">
        <is>
          <t>Guntur</t>
        </is>
      </c>
      <c r="C7" s="39" t="inlineStr">
        <is>
          <t>Inland</t>
        </is>
      </c>
      <c r="D7" s="39" t="n">
        <v>899</v>
      </c>
      <c r="E7" s="39" t="n">
        <v>38</v>
      </c>
      <c r="F7" s="39" t="n">
        <v>25</v>
      </c>
      <c r="G7" s="39" t="n">
        <v>68</v>
      </c>
    </row>
    <row r="8">
      <c r="B8" s="40" t="inlineStr">
        <is>
          <t>Tirupati</t>
        </is>
      </c>
      <c r="C8" s="41" t="inlineStr">
        <is>
          <t>Inland</t>
        </is>
      </c>
      <c r="D8" s="41" t="n">
        <v>987</v>
      </c>
      <c r="E8" s="41" t="n">
        <v>35</v>
      </c>
      <c r="F8" s="41" t="n">
        <v>23</v>
      </c>
      <c r="G8" s="41" t="n">
        <v>72</v>
      </c>
    </row>
    <row r="9">
      <c r="B9" s="38" t="inlineStr">
        <is>
          <t>Kurnool</t>
        </is>
      </c>
      <c r="C9" s="39" t="inlineStr">
        <is>
          <t>Inland</t>
        </is>
      </c>
      <c r="D9" s="39" t="n">
        <v>638</v>
      </c>
      <c r="E9" s="39" t="n">
        <v>40</v>
      </c>
      <c r="F9" s="39" t="n">
        <v>24</v>
      </c>
      <c r="G9" s="39" t="n">
        <v>58</v>
      </c>
    </row>
    <row r="10">
      <c r="B10" s="40" t="inlineStr">
        <is>
          <t>Anantapur</t>
        </is>
      </c>
      <c r="C10" s="41" t="inlineStr">
        <is>
          <t>Inland</t>
        </is>
      </c>
      <c r="D10" s="41" t="n">
        <v>553</v>
      </c>
      <c r="E10" s="41" t="n">
        <v>39</v>
      </c>
      <c r="F10" s="41" t="n">
        <v>22</v>
      </c>
      <c r="G10" s="41" t="n">
        <v>55</v>
      </c>
    </row>
    <row r="11">
      <c r="B11" s="38" t="inlineStr">
        <is>
          <t>Nellore</t>
        </is>
      </c>
      <c r="C11" s="39" t="inlineStr">
        <is>
          <t>Coastal</t>
        </is>
      </c>
      <c r="D11" s="39" t="n">
        <v>1012</v>
      </c>
      <c r="E11" s="39" t="n">
        <v>34</v>
      </c>
      <c r="F11" s="39" t="n">
        <v>25</v>
      </c>
      <c r="G11" s="39" t="n">
        <v>75</v>
      </c>
    </row>
    <row r="12">
      <c r="B12" s="40" t="inlineStr">
        <is>
          <t>Kadapa</t>
        </is>
      </c>
      <c r="C12" s="41" t="inlineStr">
        <is>
          <t>Inland</t>
        </is>
      </c>
      <c r="D12" s="41" t="n">
        <v>709</v>
      </c>
      <c r="E12" s="41" t="n">
        <v>40</v>
      </c>
      <c r="F12" s="41" t="n">
        <v>23</v>
      </c>
      <c r="G12" s="41" t="n">
        <v>60</v>
      </c>
    </row>
    <row r="13">
      <c r="B13" s="38" t="inlineStr">
        <is>
          <t>Kakinada</t>
        </is>
      </c>
      <c r="C13" s="39" t="inlineStr">
        <is>
          <t>Coastal</t>
        </is>
      </c>
      <c r="D13" s="39" t="n">
        <v>1143</v>
      </c>
      <c r="E13" s="39" t="n">
        <v>32</v>
      </c>
      <c r="F13" s="39" t="n">
        <v>24</v>
      </c>
      <c r="G13" s="39" t="n">
        <v>80</v>
      </c>
    </row>
    <row r="14">
      <c r="B14" s="40" t="inlineStr">
        <is>
          <t>Rajahmundry</t>
        </is>
      </c>
      <c r="C14" s="41" t="inlineStr">
        <is>
          <t>Coastal</t>
        </is>
      </c>
      <c r="D14" s="41" t="n">
        <v>1072</v>
      </c>
      <c r="E14" s="41" t="n">
        <v>33</v>
      </c>
      <c r="F14" s="41" t="n">
        <v>24</v>
      </c>
      <c r="G14" s="41" t="n">
        <v>77</v>
      </c>
    </row>
    <row r="15">
      <c r="B15" s="38" t="inlineStr">
        <is>
          <t>Chittoor</t>
        </is>
      </c>
      <c r="C15" s="39" t="inlineStr">
        <is>
          <t>Inland</t>
        </is>
      </c>
      <c r="D15" s="39" t="n">
        <v>895</v>
      </c>
      <c r="E15" s="39" t="n">
        <v>35</v>
      </c>
      <c r="F15" s="39" t="n">
        <v>22</v>
      </c>
      <c r="G15" s="39" t="n">
        <v>67</v>
      </c>
    </row>
    <row r="16">
      <c r="B16" s="40" t="inlineStr">
        <is>
          <t>Ongole</t>
        </is>
      </c>
      <c r="C16" s="41" t="inlineStr">
        <is>
          <t>Coastal</t>
        </is>
      </c>
      <c r="D16" s="41" t="n">
        <v>880</v>
      </c>
      <c r="E16" s="41" t="n">
        <v>34</v>
      </c>
      <c r="F16" s="41" t="n">
        <v>24</v>
      </c>
      <c r="G16" s="41" t="n">
        <v>73</v>
      </c>
    </row>
  </sheetData>
  <mergeCells count="1">
    <mergeCell ref="B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30" customWidth="1" min="4" max="4"/>
    <col width="20" customWidth="1" min="5" max="5"/>
  </cols>
  <sheetData>
    <row r="1">
      <c r="B1" s="42" t="inlineStr">
        <is>
          <t>⚠️  WEATHER RISK ALERTS &amp; MANAGEMENT INSIGHTS</t>
        </is>
      </c>
    </row>
    <row r="2"/>
    <row r="4">
      <c r="B4" s="37" t="inlineStr">
        <is>
          <t>Alert Level</t>
        </is>
      </c>
      <c r="C4" s="37" t="inlineStr">
        <is>
          <t>Location</t>
        </is>
      </c>
      <c r="D4" s="37" t="inlineStr">
        <is>
          <t>Issue Type</t>
        </is>
      </c>
      <c r="E4" s="37" t="inlineStr">
        <is>
          <t>Recommended Action</t>
        </is>
      </c>
    </row>
    <row r="5" ht="24" customHeight="1">
      <c r="B5" s="43" t="inlineStr">
        <is>
          <t>🔴 HIGH RISK</t>
        </is>
      </c>
      <c r="C5" s="43" t="inlineStr">
        <is>
          <t>Anantapur / Kurnool</t>
        </is>
      </c>
      <c r="D5" s="43" t="inlineStr">
        <is>
          <t>Drought Prone</t>
        </is>
      </c>
      <c r="E5" s="44" t="inlineStr">
        <is>
          <t>Immediate</t>
        </is>
      </c>
    </row>
    <row r="6" ht="24" customHeight="1">
      <c r="B6" s="43" t="inlineStr">
        <is>
          <t>🔴 HIGH RISK</t>
        </is>
      </c>
      <c r="C6" s="43" t="inlineStr">
        <is>
          <t>Guntur / Kadapa</t>
        </is>
      </c>
      <c r="D6" s="43" t="inlineStr">
        <is>
          <t>Heat Wave</t>
        </is>
      </c>
      <c r="E6" s="44" t="inlineStr">
        <is>
          <t>Immediate</t>
        </is>
      </c>
    </row>
    <row r="7" ht="24" customHeight="1">
      <c r="B7" s="45" t="inlineStr">
        <is>
          <t>🟡 MODERATE</t>
        </is>
      </c>
      <c r="C7" s="45" t="inlineStr">
        <is>
          <t>Vijayawada / Tirupati</t>
        </is>
      </c>
      <c r="D7" s="45" t="inlineStr">
        <is>
          <t>Monsoon Flooding</t>
        </is>
      </c>
      <c r="E7" s="46" t="inlineStr">
        <is>
          <t>Seasonal</t>
        </is>
      </c>
    </row>
    <row r="8" ht="24" customHeight="1">
      <c r="B8" s="45" t="inlineStr">
        <is>
          <t>🟡 MODERATE</t>
        </is>
      </c>
      <c r="C8" s="45" t="inlineStr">
        <is>
          <t>Visakhapatnam</t>
        </is>
      </c>
      <c r="D8" s="45" t="inlineStr">
        <is>
          <t>Cyclone Risk</t>
        </is>
      </c>
      <c r="E8" s="46" t="inlineStr">
        <is>
          <t>Seasonal</t>
        </is>
      </c>
    </row>
    <row r="9" ht="24" customHeight="1">
      <c r="B9" s="47" t="inlineStr">
        <is>
          <t>🟢 LOW RISK</t>
        </is>
      </c>
      <c r="C9" s="47" t="inlineStr">
        <is>
          <t>Kakinada / Rajahmundry</t>
        </is>
      </c>
      <c r="D9" s="47" t="inlineStr">
        <is>
          <t>Normal Season</t>
        </is>
      </c>
      <c r="E9" s="48" t="inlineStr">
        <is>
          <t>Routine</t>
        </is>
      </c>
    </row>
    <row r="10" ht="24" customHeight="1">
      <c r="B10" s="49" t="inlineStr">
        <is>
          <t>🔵 ADVISORY</t>
        </is>
      </c>
      <c r="C10" s="49" t="inlineStr">
        <is>
          <t>All Districts</t>
        </is>
      </c>
      <c r="D10" s="49" t="inlineStr">
        <is>
          <t>Temperature Rise</t>
        </is>
      </c>
      <c r="E10" s="50" t="inlineStr">
        <is>
          <t>Long-term</t>
        </is>
      </c>
    </row>
    <row r="11" ht="24" customHeight="1">
      <c r="B11" s="49" t="inlineStr">
        <is>
          <t>🔵 ADVISORY</t>
        </is>
      </c>
      <c r="C11" s="49" t="inlineStr">
        <is>
          <t>Chittoor / Nellore</t>
        </is>
      </c>
      <c r="D11" s="49" t="inlineStr">
        <is>
          <t>Irregular Rainfall</t>
        </is>
      </c>
      <c r="E11" s="50" t="inlineStr">
        <is>
          <t>Long-term</t>
        </is>
      </c>
    </row>
  </sheetData>
  <mergeCells count="1">
    <mergeCell ref="B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0" customWidth="1" min="3" max="3"/>
  </cols>
  <sheetData>
    <row r="1">
      <c r="B1" s="36" t="inlineStr">
        <is>
          <t>POWER BI IMPORT &amp; DASHBOARD SETUP GUIDE</t>
        </is>
      </c>
    </row>
    <row r="2"/>
    <row r="4">
      <c r="B4" s="37" t="inlineStr">
        <is>
          <t>Step</t>
        </is>
      </c>
      <c r="C4" s="37" t="inlineStr">
        <is>
          <t>Instruction</t>
        </is>
      </c>
    </row>
    <row r="5" ht="22" customHeight="1">
      <c r="B5" s="51" t="inlineStr">
        <is>
          <t>Open Power BI Desktop → Get Data → Excel Workbook → Select this file</t>
        </is>
      </c>
      <c r="C5" s="52" t="inlineStr">
        <is>
          <t>STEP 1</t>
        </is>
      </c>
    </row>
    <row r="6" ht="22" customHeight="1">
      <c r="B6" s="49" t="inlineStr">
        <is>
          <t>Load sheets: '📋 Raw Data'  and  '📊 Dashboard' (Monthly table)</t>
        </is>
      </c>
      <c r="C6" s="53" t="inlineStr">
        <is>
          <t>STEP 2</t>
        </is>
      </c>
    </row>
    <row r="7" ht="22" customHeight="1">
      <c r="B7" s="51" t="inlineStr">
        <is>
          <t>Create Map Visual → Location = District, Size = Annual Rain, Color = Risk Level</t>
        </is>
      </c>
      <c r="C7" s="52" t="inlineStr">
        <is>
          <t>STEP 3</t>
        </is>
      </c>
    </row>
    <row r="8" ht="22" customHeight="1">
      <c r="B8" s="49" t="inlineStr">
        <is>
          <t>Add Clustered Bar Chart → Axis = District, Value = Annual Rainfall (mm)</t>
        </is>
      </c>
      <c r="C8" s="53" t="inlineStr">
        <is>
          <t>STEP 4</t>
        </is>
      </c>
    </row>
    <row r="9" ht="22" customHeight="1">
      <c r="B9" s="51" t="inlineStr">
        <is>
          <t>Add Line Chart → Axis = Month, Values = Max Temp + Min Temp</t>
        </is>
      </c>
      <c r="C9" s="52" t="inlineStr">
        <is>
          <t>STEP 5</t>
        </is>
      </c>
    </row>
    <row r="10" ht="22" customHeight="1">
      <c r="B10" s="49" t="inlineStr">
        <is>
          <t>Add Gauge → Value = Avg Humidity (%), Max = 100</t>
        </is>
      </c>
      <c r="C10" s="53" t="inlineStr">
        <is>
          <t>STEP 6</t>
        </is>
      </c>
    </row>
    <row r="11" ht="22" customHeight="1">
      <c r="B11" s="51" t="inlineStr">
        <is>
          <t>Add Slicer → Field = Zone (Coastal / Inland) for dynamic filtering</t>
        </is>
      </c>
      <c r="C11" s="52" t="inlineStr">
        <is>
          <t>STEP 7</t>
        </is>
      </c>
    </row>
    <row r="12" ht="22" customHeight="1">
      <c r="B12" s="49" t="inlineStr">
        <is>
          <t>Format theme: Primary Blue #1B3A6B, Accent Teal #0097A7, Alert Orange #E65100</t>
        </is>
      </c>
      <c r="C12" s="53" t="inlineStr">
        <is>
          <t>STEP 8</t>
        </is>
      </c>
    </row>
    <row r="13" ht="22" customHeight="1">
      <c r="B13" s="51" t="inlineStr">
        <is>
          <t>Add Title: 'Andhra Pradesh Weather Management System | IMD 2024'</t>
        </is>
      </c>
      <c r="C13" s="52" t="inlineStr">
        <is>
          <t>STEP 9</t>
        </is>
      </c>
    </row>
    <row r="14" ht="22" customHeight="1">
      <c r="B14" s="49" t="inlineStr">
        <is>
          <t>Publish to Power BI Service → Share link → Download as PNG for LinkedIn post</t>
        </is>
      </c>
      <c r="C14" s="53" t="inlineStr">
        <is>
          <t>STEP 10</t>
        </is>
      </c>
    </row>
  </sheetData>
  <mergeCells count="1">
    <mergeCell ref="B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2026-06-11T02:22:19Z</dcterms:created>
  <dcterms:modified xmlns:dcterms="http://purl.org/dc/terms/" xmlns:xsi="http://www.w3.org/2001/XMLSchema-instance" xsi:type="dcterms:W3CDTF">2026-06-11T02:22:19Z</dcterms:modified>
</cp:coreProperties>
</file>